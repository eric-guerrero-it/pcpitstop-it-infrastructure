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AC416359-2D28-4B1D-B8C5-D00BAE11D93D}" xr6:coauthVersionLast="47" xr6:coauthVersionMax="47" xr10:uidLastSave="{00000000-0000-0000-0000-000000000000}"/>
  <bookViews>
    <workbookView xWindow="-108" yWindow="-108" windowWidth="23256" windowHeight="12456" firstSheet="1" activeTab="5" xr2:uid="{0AE27FDC-F391-4BC0-8C11-A4EEE4704BCA}"/>
  </bookViews>
  <sheets>
    <sheet name="FULL DE RESUM" sheetId="13" r:id="rId1"/>
    <sheet name="MAQUINARI" sheetId="12" r:id="rId2"/>
    <sheet name="XARXA" sheetId="11" r:id="rId3"/>
    <sheet name="SISTEMES I PROGRAMARI" sheetId="10" r:id="rId4"/>
    <sheet name="SEGURETAT FÍSICA I LÒGICA" sheetId="7" r:id="rId5"/>
    <sheet name="ALTRES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3" l="1"/>
  <c r="D15" i="12"/>
  <c r="D12" i="12"/>
  <c r="D6" i="12"/>
  <c r="D4" i="12"/>
  <c r="D15" i="11"/>
  <c r="D3" i="11"/>
  <c r="D4" i="11"/>
  <c r="D5" i="11"/>
  <c r="D6" i="11"/>
  <c r="D7" i="11"/>
  <c r="D8" i="11"/>
  <c r="D9" i="11"/>
  <c r="D10" i="11"/>
  <c r="D11" i="11"/>
  <c r="D12" i="11"/>
  <c r="D13" i="11"/>
  <c r="D14" i="11"/>
  <c r="D2" i="11"/>
  <c r="D3" i="12"/>
  <c r="D5" i="12"/>
  <c r="D7" i="12"/>
  <c r="D8" i="12"/>
  <c r="D9" i="12"/>
  <c r="D10" i="12"/>
  <c r="D11" i="12"/>
  <c r="D13" i="12"/>
  <c r="D14" i="12"/>
  <c r="D7" i="9"/>
  <c r="D5" i="9"/>
  <c r="D6" i="9"/>
  <c r="D3" i="9"/>
  <c r="D4" i="9"/>
  <c r="D13" i="7"/>
  <c r="D2" i="12"/>
  <c r="D7" i="10"/>
  <c r="D3" i="10"/>
  <c r="D4" i="10"/>
  <c r="D5" i="10"/>
  <c r="D6" i="10"/>
  <c r="D7" i="7"/>
  <c r="D3" i="7"/>
  <c r="D4" i="7"/>
  <c r="D5" i="7"/>
  <c r="D6" i="7"/>
  <c r="D8" i="7"/>
  <c r="D9" i="7"/>
  <c r="D10" i="7"/>
  <c r="D11" i="7"/>
  <c r="D2" i="7"/>
  <c r="D2" i="10"/>
  <c r="D2" i="9"/>
  <c r="D12" i="7"/>
</calcChain>
</file>

<file path=xl/sharedStrings.xml><?xml version="1.0" encoding="utf-8"?>
<sst xmlns="http://schemas.openxmlformats.org/spreadsheetml/2006/main" count="147" uniqueCount="92">
  <si>
    <t>Amazon</t>
  </si>
  <si>
    <t xml:space="preserve">URL </t>
  </si>
  <si>
    <t xml:space="preserve">Switch </t>
  </si>
  <si>
    <t>TOTAL</t>
  </si>
  <si>
    <t xml:space="preserve">Kaspersky </t>
  </si>
  <si>
    <t>Zentinels</t>
  </si>
  <si>
    <t>Control d'accés amb reconeixement per iris</t>
  </si>
  <si>
    <t>Windows Server 2019 Essential</t>
  </si>
  <si>
    <t>20 clients Windows 11 Pro</t>
  </si>
  <si>
    <t>15 clients Microsoft Office Pro</t>
  </si>
  <si>
    <t>NOM</t>
  </si>
  <si>
    <t>QUANTITAT</t>
  </si>
  <si>
    <t>PREU UNITARI</t>
  </si>
  <si>
    <t>PREU TOTAL</t>
  </si>
  <si>
    <t>PCComponentes</t>
  </si>
  <si>
    <t>Sensor de moviment interior</t>
  </si>
  <si>
    <t>Càmera de seguretat 360º Int. i Ext.</t>
  </si>
  <si>
    <t>Evaporador interior</t>
  </si>
  <si>
    <t>Condensador interior</t>
  </si>
  <si>
    <t>Detector de fum</t>
  </si>
  <si>
    <t>Extintor clase A B C</t>
  </si>
  <si>
    <t>SAI potent</t>
  </si>
  <si>
    <t>Llum d'emergència</t>
  </si>
  <si>
    <t>Firewall amb pfSense</t>
  </si>
  <si>
    <t>Biometric Supply</t>
  </si>
  <si>
    <t>Dinahosting</t>
  </si>
  <si>
    <t>Windows Server 2019 Standard</t>
  </si>
  <si>
    <t xml:space="preserve">Access Point </t>
  </si>
  <si>
    <t>Visunext</t>
  </si>
  <si>
    <t>Monitor</t>
  </si>
  <si>
    <t>Impressora</t>
  </si>
  <si>
    <t>Antivirus 14 nodes 1 any</t>
  </si>
  <si>
    <t>Evertik</t>
  </si>
  <si>
    <t>efectoLED</t>
  </si>
  <si>
    <t>Interbel</t>
  </si>
  <si>
    <t>Hosting personal Linux d'un any</t>
  </si>
  <si>
    <t>Domini pcpitstop.cat d'un any</t>
  </si>
  <si>
    <t xml:space="preserve"> MDaemon d'un any per a 25 usuaris</t>
  </si>
  <si>
    <t>ubackup</t>
  </si>
  <si>
    <t>AOMEI Cyber ​​Backup amb 1 TB emmagatzematge al núvol i actualitzacions de per vida</t>
  </si>
  <si>
    <t>Ibertrónica</t>
  </si>
  <si>
    <t>HW RAID per Domini i Correu</t>
  </si>
  <si>
    <t>LambdaTek</t>
  </si>
  <si>
    <t>Tienclima</t>
  </si>
  <si>
    <t>Gasfriocalor</t>
  </si>
  <si>
    <t>Tu Tienda Experta</t>
  </si>
  <si>
    <t>Neobyte</t>
  </si>
  <si>
    <t>Teclat</t>
  </si>
  <si>
    <t>Ratolí</t>
  </si>
  <si>
    <t>Innova Informática</t>
  </si>
  <si>
    <t>Rack 42U</t>
  </si>
  <si>
    <t>Patch Panel 48 ports 1U</t>
  </si>
  <si>
    <t>RackOnline</t>
  </si>
  <si>
    <t xml:space="preserve">Cablejat UTP Cat6 100 Metres </t>
  </si>
  <si>
    <t>HW CPU clients Windows i Linux</t>
  </si>
  <si>
    <t>HW SSD clients Windows i Linux</t>
  </si>
  <si>
    <t>HW RAM clients Windows i Linux</t>
  </si>
  <si>
    <t>HW Servidor Windows Domini CPU + RAM</t>
  </si>
  <si>
    <t xml:space="preserve">HW Servidor Windows Domini SSD RAID </t>
  </si>
  <si>
    <t>HW Servidor Linux Web CPU + RAM + SSD</t>
  </si>
  <si>
    <t>HW Servidor Windows Correu CPU + RAM</t>
  </si>
  <si>
    <t xml:space="preserve">HW Servidor Windows Correu SSD RAID </t>
  </si>
  <si>
    <t>Inside Systems</t>
  </si>
  <si>
    <t>URL EXTRA</t>
  </si>
  <si>
    <t xml:space="preserve">Amazon </t>
  </si>
  <si>
    <t>URL EXTRA 2</t>
  </si>
  <si>
    <t>Corsair</t>
  </si>
  <si>
    <t>FULL DE RESUM</t>
  </si>
  <si>
    <t>CATEGORÍA</t>
  </si>
  <si>
    <t>QUANTITAT TOTAL</t>
  </si>
  <si>
    <t>ENLLAÇ FULLA</t>
  </si>
  <si>
    <t>MAQUINARI</t>
  </si>
  <si>
    <t>XARXA</t>
  </si>
  <si>
    <t>SISTEMES I PROGRAMARI</t>
  </si>
  <si>
    <t>SEGURETAT FÍSICA I LÒGICA</t>
  </si>
  <si>
    <t>ALTRES</t>
  </si>
  <si>
    <t>FULLA MAQUINARI</t>
  </si>
  <si>
    <t>FULLA XARXA</t>
  </si>
  <si>
    <t>Tiendacables</t>
  </si>
  <si>
    <t>Pelacables RJ45 UTP Cat6</t>
  </si>
  <si>
    <t>Crimpadora RJ45 Cat6 compacta amb passacables</t>
  </si>
  <si>
    <t>AliExpress</t>
  </si>
  <si>
    <t>Roseta Empotrable Cat6 2 x RJ45 Angle Femella</t>
  </si>
  <si>
    <t>Switch 16 Ports</t>
  </si>
  <si>
    <t>Access Point 2.4 GHz</t>
  </si>
  <si>
    <t>Tester cablejat de xarxa de tot tipus</t>
  </si>
  <si>
    <t>Capçals RJ45 Cat6 120 peçes</t>
  </si>
  <si>
    <t>REDOzone</t>
  </si>
  <si>
    <t>Tisores per a cables de xarxa</t>
  </si>
  <si>
    <t>Alicates d'inserció per a rosetes</t>
  </si>
  <si>
    <t>Trepant per a paret</t>
  </si>
  <si>
    <t>Suministros Agrícolas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</si>
</sst>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* #,##0\ &quot;€&quot;_-;\-* #,##0\ &quot;€&quot;_-;_-* &quot;-&quot;\ &quot;€&quot;_-;_-@_-"/>
  </numFmts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rgb="FF484848"/>
      <name val="Arial"/>
      <family val="2"/>
    </font>
    <font>
      <sz val="8"/>
      <name val="Aptos Narrow"/>
      <family val="2"/>
      <scheme val="minor"/>
    </font>
    <font>
      <b/>
      <u/>
      <sz val="16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theme="5"/>
      </patternFill>
    </fill>
  </fills>
  <borders count="2">
    <border>
      <left/>
      <right/>
      <top/>
      <bottom/>
      <diagonal/>
    </border>
    <border>
      <left/>
      <right/>
      <top/>
      <bottom style="thick">
        <color theme="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1"/>
    <xf numFmtId="0" fontId="0" fillId="0" borderId="0" xfId="0" applyAlignment="1">
      <alignment horizontal="center"/>
    </xf>
    <xf numFmtId="42" fontId="0" fillId="0" borderId="0" xfId="0" applyNumberFormat="1" applyAlignment="1">
      <alignment horizontal="right"/>
    </xf>
    <xf numFmtId="49" fontId="1" fillId="0" borderId="0" xfId="1" applyNumberFormat="1" applyAlignment="1">
      <alignment horizontal="right"/>
    </xf>
    <xf numFmtId="1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0" xfId="1" applyNumberFormat="1" applyAlignment="1">
      <alignment horizontal="center"/>
    </xf>
    <xf numFmtId="49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right"/>
    </xf>
    <xf numFmtId="42" fontId="2" fillId="0" borderId="0" xfId="0" applyNumberFormat="1" applyFont="1" applyAlignment="1">
      <alignment horizontal="right"/>
    </xf>
    <xf numFmtId="0" fontId="1" fillId="0" borderId="0" xfId="1" applyAlignment="1">
      <alignment horizontal="center"/>
    </xf>
    <xf numFmtId="0" fontId="3" fillId="0" borderId="0" xfId="0" applyFont="1"/>
    <xf numFmtId="49" fontId="5" fillId="2" borderId="1" xfId="0" applyNumberFormat="1" applyFont="1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42">
    <dxf>
      <numFmt numFmtId="30" formatCode="@"/>
      <alignment horizontal="center" vertical="bottom" textRotation="0" wrapText="0" indent="0" justifyLastLine="0" shrinkToFit="0" readingOrder="0"/>
    </dxf>
    <dxf>
      <numFmt numFmtId="32" formatCode="_-* #,##0\ &quot;€&quot;_-;\-* #,##0\ &quot;€&quot;_-;_-* &quot;-&quot;\ &quot;€&quot;_-;_-@_-"/>
      <alignment horizontal="right" vertical="bottom" textRotation="0" wrapText="0" indent="0" justifyLastLine="0" shrinkToFit="0" readingOrder="0"/>
    </dxf>
    <dxf>
      <numFmt numFmtId="164" formatCode="#,##0.00\ &quot;€&quot;_);[Red]\(#,##0.00\ &quot;€&quot;\)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numFmt numFmtId="32" formatCode="_-* #,##0\ &quot;€&quot;_-;\-* #,##0\ &quot;€&quot;_-;_-* &quot;-&quot;\ &quot;€&quot;_-;_-@_-"/>
      <alignment horizontal="right" vertical="bottom" textRotation="0" wrapText="0" indent="0" justifyLastLine="0" shrinkToFit="0" readingOrder="0"/>
    </dxf>
    <dxf>
      <numFmt numFmtId="164" formatCode="#,##0.00\ &quot;€&quot;_);[Red]\(#,##0.00\ &quot;€&quot;\)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numFmt numFmtId="32" formatCode="_-* #,##0\ &quot;€&quot;_-;\-* #,##0\ &quot;€&quot;_-;_-* &quot;-&quot;\ &quot;€&quot;_-;_-@_-"/>
      <alignment horizontal="right" vertical="bottom" textRotation="0" wrapText="0" indent="0" justifyLastLine="0" shrinkToFit="0" readingOrder="0"/>
    </dxf>
    <dxf>
      <numFmt numFmtId="164" formatCode="#,##0.00\ &quot;€&quot;_);[Red]\(#,##0.00\ &quot;€&quot;\)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2" formatCode="_-* #,##0\ &quot;€&quot;_-;\-* #,##0\ &quot;€&quot;_-;_-* &quot;-&quot;\ &quot;€&quot;_-;_-@_-"/>
      <alignment horizontal="right" vertical="bottom" textRotation="0" wrapText="0" indent="0" justifyLastLine="0" shrinkToFit="0" readingOrder="0"/>
    </dxf>
    <dxf>
      <numFmt numFmtId="164" formatCode="#,##0.00\ &quot;€&quot;_);[Red]\(#,##0.00\ &quot;€&quot;\)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2" formatCode="_-* #,##0\ &quot;€&quot;_-;\-* #,##0\ &quot;€&quot;_-;_-* &quot;-&quot;\ &quot;€&quot;_-;_-@_-"/>
      <alignment horizontal="right" vertical="bottom" textRotation="0" wrapText="0" indent="0" justifyLastLine="0" shrinkToFit="0" readingOrder="0"/>
    </dxf>
    <dxf>
      <numFmt numFmtId="164" formatCode="#,##0.00\ &quot;€&quot;_);[Red]\(#,##0.00\ &quot;€&quot;\)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0" formatCode="@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39DBFD4-FF8F-4926-B5A6-E5958687E8CB}" name="Taula67849" displayName="Taula67849" ref="A2:C8" totalsRowShown="0" headerRowDxfId="41" dataDxfId="40">
  <autoFilter ref="A2:C8" xr:uid="{439DBFD4-FF8F-4926-B5A6-E5958687E8CB}"/>
  <tableColumns count="3">
    <tableColumn id="1" xr3:uid="{CBB16C91-4BB7-41CC-9CDC-E1A806C31A9E}" name="CATEGORÍA" dataDxfId="39"/>
    <tableColumn id="3" xr3:uid="{010C853E-6A41-485B-A06B-EF76581D1B63}" name="QUANTITAT TOTAL" dataDxfId="38"/>
    <tableColumn id="4" xr3:uid="{329F54DF-AA81-4246-8572-912DDFE6CCF5}" name="ENLLAÇ FULLA" dataDxfId="37" dataCellStyle="Hipervínculo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9468DFC-EEF9-4303-8691-6ECA8DF7B7CF}" name="Taula678" displayName="Taula678" ref="A1:G15" totalsRowShown="0" headerRowDxfId="36" dataDxfId="35">
  <autoFilter ref="A1:G15" xr:uid="{F80B1AAA-B107-4093-8632-04101B19FC8F}"/>
  <tableColumns count="7">
    <tableColumn id="1" xr3:uid="{EDF3CB90-513B-4802-B7C4-403077315553}" name="NOM" dataDxfId="34"/>
    <tableColumn id="3" xr3:uid="{B0F23BA5-F001-4B8B-944A-283504448680}" name="QUANTITAT" dataDxfId="33"/>
    <tableColumn id="4" xr3:uid="{D6CB177E-AA73-4FC9-9400-D3B823714F52}" name="PREU UNITARI" dataDxfId="32"/>
    <tableColumn id="7" xr3:uid="{F32950FB-C688-4A43-8B78-B490F92F172F}" name="PREU TOTAL" dataDxfId="31"/>
    <tableColumn id="5" xr3:uid="{E3DD8DDE-F38F-4723-A680-041872712E80}" name="URL " dataDxfId="30" dataCellStyle="Hipervínculo"/>
    <tableColumn id="6" xr3:uid="{FC991B91-A11F-42FA-BF10-078B7DE2F64B}" name="URL EXTRA" dataDxfId="29" dataCellStyle="Hipervínculo"/>
    <tableColumn id="8" xr3:uid="{CC7725B6-A739-41C3-BDEE-4AC43D34E632}" name="URL EXTRA 2" dataDxfId="28" dataCellStyle="Hipervínculo"/>
  </tableColumns>
  <tableStyleInfo name="TableStyleMedium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2F07956-6BB0-48B8-957E-79F1F8212F17}" name="Taula67" displayName="Taula67" ref="A1:E15" totalsRowShown="0" headerRowDxfId="27" dataDxfId="26">
  <autoFilter ref="A1:E15" xr:uid="{F80B1AAA-B107-4093-8632-04101B19FC8F}"/>
  <tableColumns count="5">
    <tableColumn id="1" xr3:uid="{CAF0D2F4-E245-4F31-90ED-9DECDE34CB2B}" name="NOM" dataDxfId="25"/>
    <tableColumn id="3" xr3:uid="{6DCBA8FE-9313-44F0-A554-29B4E1FCDD3A}" name="QUANTITAT" dataDxfId="24"/>
    <tableColumn id="4" xr3:uid="{6EE2FCE2-1841-4AB8-B201-C2F810E2C0ED}" name="PREU UNITARI" dataDxfId="23"/>
    <tableColumn id="7" xr3:uid="{E30BA7CD-3CC7-4B47-AAC8-117D224B01DA}" name="PREU TOTAL" dataDxfId="22"/>
    <tableColumn id="5" xr3:uid="{C0C25D39-DFCA-4616-A3AC-1A3F1BBECF00}" name="URL " dataDxfId="21" dataCellStyle="Hipervínculo"/>
  </tableColumns>
  <tableStyleInfo name="TableStyleMedium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A5B2754-68DA-45E2-BF58-861CFC04DB3A}" name="Taula6" displayName="Taula6" ref="A1:E7" totalsRowShown="0" headerRowDxfId="20" dataDxfId="19">
  <autoFilter ref="A1:E7" xr:uid="{F80B1AAA-B107-4093-8632-04101B19FC8F}"/>
  <tableColumns count="5">
    <tableColumn id="1" xr3:uid="{11FDA611-886A-4A06-9E9E-DCDBB6EAE3EF}" name="NOM" dataDxfId="18"/>
    <tableColumn id="3" xr3:uid="{074D9B7E-B3BA-488C-9E92-74BE065AD73A}" name="QUANTITAT" dataDxfId="17"/>
    <tableColumn id="4" xr3:uid="{0A53062A-D7E0-4A95-B83B-0A58C79DDAF6}" name="PREU UNITARI" dataDxfId="16"/>
    <tableColumn id="7" xr3:uid="{6BB899BB-D0B5-4D11-B8D1-F169F2221A46}" name="PREU TOTAL" dataDxfId="15"/>
    <tableColumn id="5" xr3:uid="{5E825148-0008-45F1-BB5F-695778B4F7FF}" name="URL " dataDxfId="14" dataCellStyle="Hipervínculo"/>
  </tableColumns>
  <tableStyleInfo name="TableStyleMedium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80B1AAA-B107-4093-8632-04101B19FC8F}" name="Taula" displayName="Taula" ref="A1:E13" totalsRowShown="0" headerRowDxfId="13" dataDxfId="12">
  <autoFilter ref="A1:E13" xr:uid="{F80B1AAA-B107-4093-8632-04101B19FC8F}"/>
  <tableColumns count="5">
    <tableColumn id="1" xr3:uid="{62C444F1-C67C-4674-B56D-4F25CD1CC5B2}" name="NOM" dataDxfId="11"/>
    <tableColumn id="3" xr3:uid="{5B1B917D-7FD2-40EF-B925-740D4507CD16}" name="QUANTITAT" dataDxfId="10"/>
    <tableColumn id="4" xr3:uid="{F5BA2A50-05A9-465C-A911-32C9EBDDDBD5}" name="PREU UNITARI" dataDxfId="9"/>
    <tableColumn id="7" xr3:uid="{FF099236-0291-4EE1-BD23-48D6D8B15D3E}" name="PREU TOTAL" dataDxfId="8"/>
    <tableColumn id="5" xr3:uid="{359AEC45-9316-4509-B7D6-ABE867281B94}" name="URL " dataDxfId="7" dataCellStyle="Hipervínculo"/>
  </tableColumns>
  <tableStyleInfo name="TableStyleMedium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61291C6-0F97-4248-8F7D-70C390EA9152}" name="Taula10" displayName="Taula10" ref="A1:E7" totalsRowShown="0" headerRowDxfId="6" dataDxfId="5">
  <autoFilter ref="A1:E7" xr:uid="{F80B1AAA-B107-4093-8632-04101B19FC8F}"/>
  <tableColumns count="5">
    <tableColumn id="1" xr3:uid="{85F70697-268A-4BAE-86FE-BE5DF5AFFE00}" name="NOM" dataDxfId="4"/>
    <tableColumn id="3" xr3:uid="{C5405F4F-2843-467F-A1BC-CB4B393ED0EA}" name="QUANTITAT" dataDxfId="3"/>
    <tableColumn id="4" xr3:uid="{ED06DDB7-B504-466B-BF13-55F3282E69E9}" name="PREU UNITARI" dataDxfId="2"/>
    <tableColumn id="7" xr3:uid="{56D2BE28-9163-49A9-9319-676B370E1E0A}" name="PREU TOTAL" dataDxfId="1"/>
    <tableColumn id="5" xr3:uid="{B139127B-3B0A-4CCB-9E4E-B52FD7D78A2C}" name="URL " dataDxfId="0" dataCellStyle="Hipervínculo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pccomponentes.com/samsung-970-evo-plus-500gb-b2b-bulk?s_kwcid=AL!14405!3!599658692862!!!g!!&amp;gad_source=1&amp;gclid=Cj0KCQjw6auyBhDzARIsALIo6v9csCahLRb9sN3Z8NncnuuaGL7U6sLAeX7qDEXJcnL4AJgozSgPKW4aAhSqEALw_wcB" TargetMode="External"/><Relationship Id="rId13" Type="http://schemas.openxmlformats.org/officeDocument/2006/relationships/hyperlink" Target="https://www.pccomponentes.com/samsung-970-evo-plus-1tb-ssd-nvme-m2?s_kwcid=AL!14405!3!599658692862!!!g!!&amp;gad_source=1&amp;gclid=Cj0KCQjw6auyBhDzARIsALIo6v8NmYf-RnPWRwtjVkraahwFt4jSszlcG_PlTKopSYVfPiX2_WRC720aAjfFEALw_wcB" TargetMode="External"/><Relationship Id="rId18" Type="http://schemas.openxmlformats.org/officeDocument/2006/relationships/hyperlink" Target="https://www.corsair.com/es/es/p/memory/cmk32gx4m2e3200c16/vengeancea-lpx-32gb-2-x-16gb-ddr4-dram-3200mhz-c16-memory-kit-black-cmk32gx4m2e3200c16" TargetMode="External"/><Relationship Id="rId3" Type="http://schemas.openxmlformats.org/officeDocument/2006/relationships/hyperlink" Target="https://www.amazon.es/TP-Link-TL-SG1016DE-puertos-Gigabit-configuraci%C3%B3n/dp/B00DBRPKS6?th=1" TargetMode="External"/><Relationship Id="rId7" Type="http://schemas.openxmlformats.org/officeDocument/2006/relationships/hyperlink" Target="https://www.pccomponentes.com/corsair-vengeance-lpx-ddr4-3200-pc4-25600-16gb-2x8gb-cl16-negro" TargetMode="External"/><Relationship Id="rId12" Type="http://schemas.openxmlformats.org/officeDocument/2006/relationships/hyperlink" Target="https://www.corsair.com/es/es/p/memory/cmk32gx4m2e3200c16/vengeancea-lpx-32gb-2-x-16gb-ddr4-dram-3200mhz-c16-memory-kit-black-cmk32gx4m2e3200c16" TargetMode="External"/><Relationship Id="rId17" Type="http://schemas.openxmlformats.org/officeDocument/2006/relationships/hyperlink" Target="https://www.pccomponentes.com/amd-ryzen-5-3600-36ghz-box" TargetMode="External"/><Relationship Id="rId2" Type="http://schemas.openxmlformats.org/officeDocument/2006/relationships/hyperlink" Target="https://www.visunext.es/p/dell-e2220h-monitor-1000014823/" TargetMode="External"/><Relationship Id="rId16" Type="http://schemas.openxmlformats.org/officeDocument/2006/relationships/hyperlink" Target="https://www.pccomponentes.com/samsung-970-evo-plus-1tb-ssd-nvme-m2?s_kwcid=AL!14405!3!599658692862!!!g!!&amp;gad_source=1&amp;gclid=Cj0KCQjw6auyBhDzARIsALIo6v8NmYf-RnPWRwtjVkraahwFt4jSszlcG_PlTKopSYVfPiX2_WRC720aAjfFEALw_wcB" TargetMode="External"/><Relationship Id="rId20" Type="http://schemas.openxmlformats.org/officeDocument/2006/relationships/table" Target="../tables/table2.xml"/><Relationship Id="rId1" Type="http://schemas.openxmlformats.org/officeDocument/2006/relationships/hyperlink" Target="https://www.pccomponentes.com/brother-hl-l5200dw-impresora-laser-monocromo?campaigntype=dsa&amp;campaignchannel=busqueda&amp;gad_source=1&amp;gclid=Cj0KCQjw6uWyBhD1ARIsAIMcADpw3GtOmV_re2ecPcxK-B9cYmC2MgzNx8PvD6HQwLjVTIeQ1g6gRQgaAqXVEALw_wcB" TargetMode="External"/><Relationship Id="rId6" Type="http://schemas.openxmlformats.org/officeDocument/2006/relationships/hyperlink" Target="https://www.pccomponentes.com/intel-core-i5-12600k-37-ghz" TargetMode="External"/><Relationship Id="rId11" Type="http://schemas.openxmlformats.org/officeDocument/2006/relationships/hyperlink" Target="https://www.pccomponentes.com/samsung-970-evo-plus-1tb-ssd-nvme-m2?s_kwcid=AL!14405!3!599658692862!!!g!!&amp;gad_source=1&amp;gclid=Cj0KCQjw6auyBhDzARIsALIo6v__bmMtqjHUlnTagea_EsD7mKyAEjsarPLaZoZY6Rj0FeglwdI0dHcaAjEUEALw_wcB" TargetMode="External"/><Relationship Id="rId5" Type="http://schemas.openxmlformats.org/officeDocument/2006/relationships/hyperlink" Target="https://ibertronica.es/lsi-megaraid-9361-4i-sas-sata-2057" TargetMode="External"/><Relationship Id="rId15" Type="http://schemas.openxmlformats.org/officeDocument/2006/relationships/hyperlink" Target="https://www.corsair.com/es/es/p/memory/cmk32gx4m2e3200c16/vengeancea-lpx-32gb-2-x-16gb-ddr4-dram-3200mhz-c16-memory-kit-black-cmk32gx4m2e3200c16" TargetMode="External"/><Relationship Id="rId10" Type="http://schemas.openxmlformats.org/officeDocument/2006/relationships/hyperlink" Target="https://www.amazon.es/Kingston-KVR26N19D8-32-Memoria-2666Mhz/dp/B082F1ZB5P" TargetMode="External"/><Relationship Id="rId19" Type="http://schemas.openxmlformats.org/officeDocument/2006/relationships/hyperlink" Target="https://www.pccomponentes.com/samsung-970-evo-plus-1tb-ssd-nvme-m2?s_kwcid=AL!14405!3!599658692862!!!g!!&amp;gad_source=1&amp;gclid=Cj0KCQjw6auyBhDzARIsALIo6v8NmYf-RnPWRwtjVkraahwFt4jSszlcG_PlTKopSYVfPiX2_WRC720aAjfFEALw_wcB" TargetMode="External"/><Relationship Id="rId4" Type="http://schemas.openxmlformats.org/officeDocument/2006/relationships/hyperlink" Target="https://www.pccomponentes.com/ubiquiti-unifi-uap-ac-pro-punto-de-acceso-doble-banda-poe-24-ghz" TargetMode="External"/><Relationship Id="rId9" Type="http://schemas.openxmlformats.org/officeDocument/2006/relationships/hyperlink" Target="https://insidesystems.com/es/product/pse-npl7251-bfv8saf-amd-epyc-7251-8-core-2-1ghz-120w-cpu/" TargetMode="External"/><Relationship Id="rId14" Type="http://schemas.openxmlformats.org/officeDocument/2006/relationships/hyperlink" Target="https://www.amazon.es/Intel-Xeon-2236-procesador-GHz/dp/B088WL697P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iendacables.com/6684-crimpadora-rj45-compacta-y-con-pasacables-tcrc9002.html?gad_source=1&amp;gclid=CjwKCAjwvIWzBhAlEiwAHHWgvXwwO_ELL7e5PU6uN6Cl3-UznmkKLeS3FdOi-4G_4YNjrKHOjO8XKhoC6EUQAvD_BwEd" TargetMode="External"/><Relationship Id="rId13" Type="http://schemas.openxmlformats.org/officeDocument/2006/relationships/hyperlink" Target="https://www.suministroagricola.es/taladros/1055-taladro-bosch-easy-impact-550-iva-incluido.html" TargetMode="External"/><Relationship Id="rId3" Type="http://schemas.openxmlformats.org/officeDocument/2006/relationships/hyperlink" Target="https://www.pccomponentes.com/bobina-cable-utp-cat6-100-mts-negro" TargetMode="External"/><Relationship Id="rId7" Type="http://schemas.openxmlformats.org/officeDocument/2006/relationships/hyperlink" Target="https://www.amazon.es/Pelacables-Keple-Inserci%C3%B3n-Herramienta-Desforradora/dp/B07MPYGF8B/ref=sr_1_8?dib=eyJ2IjoiMSJ9.YnO5rKGtTx7X2Krpx_8QMC1CqKrpkXZ4I_6cj2vVE8TcvlOrc64hyjN0vt78Ud94BL7KdrB-LDKSWIRNqemmkPZ5qKQYnIUpeDOoa1gCG61QNy1Bjoi_He3X0CmgZwi2LLXHTIbWlVBq5sPm7Bd9PUP33oK5hHNKmP1Vqe4co-JtIai1z14Wf_yEzqxL863MUU0XWFRIMgKKliKwaYXhP9OLxUrnslPpxKO-dzJgZmCuvB8hswHP5cUpXmI-3a1VtjpBRZIy0uiYHjCr0LTDLMMeIecioNHwEF7qnuBtlHo.aS8SeG9rlqZZejKUaFk9ykTJbQ1VOukmI1YFoX25jMI&amp;dib_tag=se&amp;keywords=pelacables+rj45&amp;qid=1717680755&amp;sr=8-8" TargetMode="External"/><Relationship Id="rId12" Type="http://schemas.openxmlformats.org/officeDocument/2006/relationships/hyperlink" Target="https://www.tiendacables.com/6312-herramienta-de-impacto-insertadora-tcrc80.html" TargetMode="External"/><Relationship Id="rId2" Type="http://schemas.openxmlformats.org/officeDocument/2006/relationships/hyperlink" Target="https://www.pccomponentes.com/digitus-roseta-empotrable-cat6-2-x-rj45-angulo-hembra" TargetMode="External"/><Relationship Id="rId1" Type="http://schemas.openxmlformats.org/officeDocument/2006/relationships/hyperlink" Target="https://innovainformatica.com/redes-armarios-rack/apc-netshelter-sx-42u-rack-o-bastidor-independiente-600mm-wide-x-1070mm-negro-ar3100-ar3100.html" TargetMode="External"/><Relationship Id="rId6" Type="http://schemas.openxmlformats.org/officeDocument/2006/relationships/hyperlink" Target="https://www.rackonline.es/patch-panel-rack-19/patch-panel-rack-1u-48-x-rj45-cat6-utp.html" TargetMode="External"/><Relationship Id="rId11" Type="http://schemas.openxmlformats.org/officeDocument/2006/relationships/hyperlink" Target="https://www.redozone.de/es/product_info.php?info=p476163_tijeras-para-cables---acero-inoxidable---180-mm.html&amp;no_boost=1" TargetMode="External"/><Relationship Id="rId5" Type="http://schemas.openxmlformats.org/officeDocument/2006/relationships/hyperlink" Target="https://www.pccomponentes.com/ubiquiti-unifi-uap-ac-pro-punto-de-acceso-doble-banda-poe-24-ghz" TargetMode="External"/><Relationship Id="rId10" Type="http://schemas.openxmlformats.org/officeDocument/2006/relationships/hyperlink" Target="https://www.amazon.es/Greluma-Ethernet-Conector-Cubierta-enchufe-Color/dp/B09MGVV467?th=1" TargetMode="External"/><Relationship Id="rId4" Type="http://schemas.openxmlformats.org/officeDocument/2006/relationships/hyperlink" Target="https://www.amazon.es/TP-Link-TL-SG1016DE-puertos-Gigabit-configuraci%C3%B3n/dp/B00DBRPKS6?th=1" TargetMode="External"/><Relationship Id="rId9" Type="http://schemas.openxmlformats.org/officeDocument/2006/relationships/hyperlink" Target="https://es.aliexpress.com/i/32850500038.html?spm=a2g0n.seo-amp-search.searchResult.32850500038" TargetMode="External"/><Relationship Id="rId1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tienda.zentinels.net/producto/licencia-windows-server-2019-essentials-retail/" TargetMode="External"/><Relationship Id="rId2" Type="http://schemas.openxmlformats.org/officeDocument/2006/relationships/hyperlink" Target="https://tienda.zentinels.net/producto/licencia-windows-11-pro-por-volumen-activacion-hasta-20-ordenadores/" TargetMode="External"/><Relationship Id="rId1" Type="http://schemas.openxmlformats.org/officeDocument/2006/relationships/hyperlink" Target="https://tienda.zentinels.net/producto/licencia-microsoft-office-2019-pro-5-pc-windows/" TargetMode="External"/><Relationship Id="rId6" Type="http://schemas.openxmlformats.org/officeDocument/2006/relationships/table" Target="../tables/table4.xml"/><Relationship Id="rId5" Type="http://schemas.openxmlformats.org/officeDocument/2006/relationships/hyperlink" Target="https://www.interbel.es/mdaemon/" TargetMode="External"/><Relationship Id="rId4" Type="http://schemas.openxmlformats.org/officeDocument/2006/relationships/hyperlink" Target="https://tienda.zentinels.net/producto/licencia-windows-server-2019-essentials-retail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fectoled.com/es/comprar-balizas-y-emergencia-led/103904-luz-emergencia-led-colgante-60lm-permanente-con-cartel-doble-cara.html?utm_source=google&amp;utm_medium=pmax&amp;utm_campaign=ES_PRo_iluminacionledcomercial_googlecss_maxvalor&amp;gad_source=1&amp;gclid=Cj0KCQjw9vqyBhCKARIsAIIcLMGIX8LFG5GzpfaD20WZNFbBYPFUEdHhC-Ddl1ssjX1RcOnuhYEjYIEaAoMuEALw_wcB" TargetMode="External"/><Relationship Id="rId3" Type="http://schemas.openxmlformats.org/officeDocument/2006/relationships/hyperlink" Target="https://www.pccomponentes.com/tp-link-tapo-camara-wifi-vigilancia-2k-3mp-exterior-vision-nocturna-sonido-bidireccional" TargetMode="External"/><Relationship Id="rId7" Type="http://schemas.openxmlformats.org/officeDocument/2006/relationships/hyperlink" Target="https://shop.micropyme.com/es/inicio/48-2942-netgate-6100-base-pfsense-security-gateway.html" TargetMode="External"/><Relationship Id="rId12" Type="http://schemas.openxmlformats.org/officeDocument/2006/relationships/table" Target="../tables/table5.xml"/><Relationship Id="rId2" Type="http://schemas.openxmlformats.org/officeDocument/2006/relationships/hyperlink" Target="https://www.tutiendaexperta.com/domotica-led/635-xiaomi-mi-smart-home-sensor-de-puerta-y-ventana-2.html" TargetMode="External"/><Relationship Id="rId1" Type="http://schemas.openxmlformats.org/officeDocument/2006/relationships/hyperlink" Target="https://www.amazon.es/dp/B00NEJ2ML4?ref_=cm_sw_r_cp_ud_dp_C7THF3YTEB94JEB5K551" TargetMode="External"/><Relationship Id="rId6" Type="http://schemas.openxmlformats.org/officeDocument/2006/relationships/hyperlink" Target="https://www.amazon.es/gp/product/B01MU4E9B7/ref=ox_sc_act_image_1?smid=A1AT7YVPFBWXBL&amp;th=1" TargetMode="External"/><Relationship Id="rId11" Type="http://schemas.openxmlformats.org/officeDocument/2006/relationships/hyperlink" Target="https://www.gasfriocalor.com/aire-acondicionado-split-daikin-unidad-interior-ctxs15k" TargetMode="External"/><Relationship Id="rId5" Type="http://schemas.openxmlformats.org/officeDocument/2006/relationships/hyperlink" Target="https://www.biometricsupply.com/product/iritech-irishield-usb-mk-2120u/" TargetMode="External"/><Relationship Id="rId10" Type="http://schemas.openxmlformats.org/officeDocument/2006/relationships/hyperlink" Target="https://www.tienclima-online.com/aire-acondicionado/mitsubishi-electric-msz-ap-25-vf/" TargetMode="External"/><Relationship Id="rId4" Type="http://schemas.openxmlformats.org/officeDocument/2006/relationships/hyperlink" Target="https://www.kaspersky.com/small-to-medium-business-security/endpoint-advanced" TargetMode="External"/><Relationship Id="rId9" Type="http://schemas.openxmlformats.org/officeDocument/2006/relationships/hyperlink" Target="https://www.lambda-tek.es/shop/?region=ES&amp;prodID=B673232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ubackup.com/es/buy-ab-server.html?prevod=%2Fes%2Fserver%3Abottom" TargetMode="External"/><Relationship Id="rId2" Type="http://schemas.openxmlformats.org/officeDocument/2006/relationships/hyperlink" Target="https://dinahosting.com/hosting/precios-hosting" TargetMode="External"/><Relationship Id="rId1" Type="http://schemas.openxmlformats.org/officeDocument/2006/relationships/hyperlink" Target="https://dinahosting.com/dominios/resultados?busquedaSimple=pcpitstop.cat" TargetMode="External"/><Relationship Id="rId6" Type="http://schemas.openxmlformats.org/officeDocument/2006/relationships/table" Target="../tables/table6.xml"/><Relationship Id="rId5" Type="http://schemas.openxmlformats.org/officeDocument/2006/relationships/hyperlink" Target="https://www.neobyte.es/teclado-logitech-k120-oem-305.html" TargetMode="External"/><Relationship Id="rId4" Type="http://schemas.openxmlformats.org/officeDocument/2006/relationships/hyperlink" Target="https://www.neobyte.es/raton-logitech-b100-oem-negro-437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96344-E8C9-4248-B3F6-EEC7DC8D252E}">
  <dimension ref="A1:G9"/>
  <sheetViews>
    <sheetView zoomScale="113" workbookViewId="0">
      <selection activeCell="D9" sqref="D9"/>
    </sheetView>
  </sheetViews>
  <sheetFormatPr baseColWidth="10" defaultRowHeight="14.4" x14ac:dyDescent="0.3"/>
  <cols>
    <col min="1" max="1" width="24.6640625" style="2" bestFit="1" customWidth="1"/>
    <col min="2" max="2" width="24.33203125" style="2" bestFit="1" customWidth="1"/>
    <col min="3" max="3" width="24.6640625" style="2" bestFit="1" customWidth="1"/>
    <col min="4" max="4" width="18.21875" style="2" bestFit="1" customWidth="1"/>
    <col min="5" max="5" width="15" style="2" bestFit="1" customWidth="1"/>
    <col min="6" max="6" width="16.77734375" bestFit="1" customWidth="1"/>
    <col min="7" max="7" width="18.5546875" bestFit="1" customWidth="1"/>
  </cols>
  <sheetData>
    <row r="1" spans="1:7" ht="21.6" thickBot="1" x14ac:dyDescent="0.45">
      <c r="A1" s="14" t="s">
        <v>67</v>
      </c>
      <c r="B1" s="14"/>
      <c r="C1" s="14"/>
      <c r="D1" s="7"/>
      <c r="F1" s="7"/>
      <c r="G1" s="2"/>
    </row>
    <row r="2" spans="1:7" ht="18.600000000000001" thickTop="1" x14ac:dyDescent="0.35">
      <c r="A2" s="9" t="s">
        <v>68</v>
      </c>
      <c r="B2" s="9" t="s">
        <v>69</v>
      </c>
      <c r="C2" s="9" t="s">
        <v>70</v>
      </c>
    </row>
    <row r="3" spans="1:7" s="2" customFormat="1" x14ac:dyDescent="0.3">
      <c r="A3" s="6" t="s">
        <v>71</v>
      </c>
      <c r="B3" s="3">
        <v>13722</v>
      </c>
      <c r="C3" s="8" t="s">
        <v>76</v>
      </c>
      <c r="F3"/>
    </row>
    <row r="4" spans="1:7" x14ac:dyDescent="0.3">
      <c r="A4" s="6" t="s">
        <v>72</v>
      </c>
      <c r="B4" s="3">
        <v>3586</v>
      </c>
      <c r="C4" s="8" t="s">
        <v>77</v>
      </c>
      <c r="D4" s="7"/>
    </row>
    <row r="5" spans="1:7" x14ac:dyDescent="0.3">
      <c r="A5" s="6" t="s">
        <v>73</v>
      </c>
      <c r="B5" s="3">
        <v>1644</v>
      </c>
      <c r="C5" s="8" t="s">
        <v>73</v>
      </c>
      <c r="D5" s="7"/>
    </row>
    <row r="6" spans="1:7" x14ac:dyDescent="0.3">
      <c r="A6" s="6" t="s">
        <v>74</v>
      </c>
      <c r="B6" s="3">
        <v>14519</v>
      </c>
      <c r="C6" s="8" t="s">
        <v>74</v>
      </c>
    </row>
    <row r="7" spans="1:7" x14ac:dyDescent="0.3">
      <c r="A7" s="6" t="s">
        <v>75</v>
      </c>
      <c r="B7" s="3">
        <v>976</v>
      </c>
      <c r="C7" s="8" t="s">
        <v>75</v>
      </c>
    </row>
    <row r="8" spans="1:7" ht="18" x14ac:dyDescent="0.35">
      <c r="A8" s="10" t="s">
        <v>3</v>
      </c>
      <c r="B8" s="11">
        <f>SUM(B3:B7)</f>
        <v>34447</v>
      </c>
      <c r="C8" s="8"/>
    </row>
    <row r="9" spans="1:7" x14ac:dyDescent="0.3">
      <c r="C9" s="3"/>
    </row>
  </sheetData>
  <mergeCells count="1">
    <mergeCell ref="A1:C1"/>
  </mergeCells>
  <phoneticPr fontId="4" type="noConversion"/>
  <hyperlinks>
    <hyperlink ref="C3" location="MAQUINARI!A1" display="FULLA MAQUINARI" xr:uid="{415ED749-B45B-44B6-BB4F-F38E965F380A}"/>
    <hyperlink ref="C4" location="XARXA!A1" display="FULLA XARXA" xr:uid="{5FE4E3F2-8C03-4F35-87FD-C2777153A674}"/>
    <hyperlink ref="C5" location="'SISTEMES I PROGRAMARI'!A1" display="SISTEMES I PROGRAMARI" xr:uid="{4894574D-60D6-467F-89B5-F659B919E9F8}"/>
    <hyperlink ref="C6" location="'SEGURETAT FÍSICA I LÒGICA'!A1" display="SEGURETAT FÍSICA I LÒGICA" xr:uid="{54016133-AF04-4454-B10D-D0E4A10EF806}"/>
    <hyperlink ref="C7" location="ALTRES!A1" display="ALTRES" xr:uid="{B967D966-CBB4-46CD-A673-5BA7E74C1CCC}"/>
  </hyperlink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B4B66-271B-4126-A2FD-7F95B138B85D}">
  <dimension ref="A1:J20"/>
  <sheetViews>
    <sheetView zoomScale="113" workbookViewId="0">
      <selection activeCell="E20" sqref="E20"/>
    </sheetView>
  </sheetViews>
  <sheetFormatPr baseColWidth="10" defaultRowHeight="14.4" x14ac:dyDescent="0.3"/>
  <cols>
    <col min="1" max="1" width="35.5546875" style="2" bestFit="1" customWidth="1"/>
    <col min="2" max="2" width="17.21875" style="2" bestFit="1" customWidth="1"/>
    <col min="3" max="3" width="20.21875" style="2" bestFit="1" customWidth="1"/>
    <col min="4" max="4" width="18.21875" style="2" bestFit="1" customWidth="1"/>
    <col min="5" max="5" width="15" style="2" bestFit="1" customWidth="1"/>
    <col min="6" max="6" width="16.77734375" bestFit="1" customWidth="1"/>
    <col min="7" max="7" width="18.5546875" bestFit="1" customWidth="1"/>
  </cols>
  <sheetData>
    <row r="1" spans="1:10" ht="18" x14ac:dyDescent="0.35">
      <c r="A1" s="9" t="s">
        <v>10</v>
      </c>
      <c r="B1" s="9" t="s">
        <v>11</v>
      </c>
      <c r="C1" s="9" t="s">
        <v>12</v>
      </c>
      <c r="D1" s="9" t="s">
        <v>13</v>
      </c>
      <c r="E1" s="9" t="s">
        <v>1</v>
      </c>
      <c r="F1" s="9" t="s">
        <v>63</v>
      </c>
      <c r="G1" s="9" t="s">
        <v>65</v>
      </c>
    </row>
    <row r="2" spans="1:10" x14ac:dyDescent="0.3">
      <c r="A2" s="6" t="s">
        <v>2</v>
      </c>
      <c r="B2" s="5">
        <v>3</v>
      </c>
      <c r="C2" s="3">
        <v>84.89</v>
      </c>
      <c r="D2" s="3">
        <f>B2*C2</f>
        <v>254.67000000000002</v>
      </c>
      <c r="E2" s="8" t="s">
        <v>0</v>
      </c>
      <c r="F2" s="8"/>
      <c r="G2" s="8"/>
    </row>
    <row r="3" spans="1:10" x14ac:dyDescent="0.3">
      <c r="A3" s="6" t="s">
        <v>27</v>
      </c>
      <c r="B3" s="5">
        <v>1</v>
      </c>
      <c r="C3" s="3">
        <v>151</v>
      </c>
      <c r="D3" s="3">
        <f t="shared" ref="D3:D14" si="0">B3*C3</f>
        <v>151</v>
      </c>
      <c r="E3" s="8" t="s">
        <v>14</v>
      </c>
      <c r="F3" s="8"/>
      <c r="G3" s="8"/>
    </row>
    <row r="4" spans="1:10" x14ac:dyDescent="0.3">
      <c r="A4" s="6" t="s">
        <v>57</v>
      </c>
      <c r="B4" s="5">
        <v>1</v>
      </c>
      <c r="C4" s="3">
        <v>419</v>
      </c>
      <c r="D4" s="3">
        <f>B4*C4</f>
        <v>419</v>
      </c>
      <c r="E4" s="8" t="s">
        <v>62</v>
      </c>
      <c r="F4" s="8" t="s">
        <v>64</v>
      </c>
      <c r="G4" s="8"/>
    </row>
    <row r="5" spans="1:10" x14ac:dyDescent="0.3">
      <c r="A5" s="6" t="s">
        <v>58</v>
      </c>
      <c r="B5" s="5">
        <v>4</v>
      </c>
      <c r="C5" s="3">
        <v>97</v>
      </c>
      <c r="D5" s="3">
        <f t="shared" si="0"/>
        <v>388</v>
      </c>
      <c r="E5" s="8" t="s">
        <v>14</v>
      </c>
      <c r="F5" s="8" t="s">
        <v>66</v>
      </c>
      <c r="G5" s="8" t="s">
        <v>14</v>
      </c>
    </row>
    <row r="6" spans="1:10" x14ac:dyDescent="0.3">
      <c r="A6" s="6" t="s">
        <v>59</v>
      </c>
      <c r="B6" s="5">
        <v>1</v>
      </c>
      <c r="C6" s="3">
        <v>267</v>
      </c>
      <c r="D6" s="3">
        <f>B6*C6</f>
        <v>267</v>
      </c>
      <c r="E6" s="8" t="s">
        <v>14</v>
      </c>
      <c r="F6" s="8" t="s">
        <v>66</v>
      </c>
      <c r="G6" s="8" t="s">
        <v>14</v>
      </c>
    </row>
    <row r="7" spans="1:10" x14ac:dyDescent="0.3">
      <c r="A7" s="6" t="s">
        <v>60</v>
      </c>
      <c r="B7" s="5">
        <v>1</v>
      </c>
      <c r="C7" s="3">
        <v>467</v>
      </c>
      <c r="D7" s="3">
        <f t="shared" si="0"/>
        <v>467</v>
      </c>
      <c r="E7" s="8" t="s">
        <v>0</v>
      </c>
      <c r="F7" s="8" t="s">
        <v>66</v>
      </c>
      <c r="G7" s="8"/>
    </row>
    <row r="8" spans="1:10" x14ac:dyDescent="0.3">
      <c r="A8" s="6" t="s">
        <v>61</v>
      </c>
      <c r="B8" s="5">
        <v>3</v>
      </c>
      <c r="C8" s="3">
        <v>97</v>
      </c>
      <c r="D8" s="3">
        <f t="shared" si="0"/>
        <v>291</v>
      </c>
      <c r="E8" s="8" t="s">
        <v>14</v>
      </c>
      <c r="F8" s="8"/>
      <c r="G8" s="8"/>
    </row>
    <row r="9" spans="1:10" x14ac:dyDescent="0.3">
      <c r="A9" s="6" t="s">
        <v>54</v>
      </c>
      <c r="B9" s="5">
        <v>15</v>
      </c>
      <c r="C9" s="3">
        <v>207</v>
      </c>
      <c r="D9" s="3">
        <f t="shared" si="0"/>
        <v>3105</v>
      </c>
      <c r="E9" s="8" t="s">
        <v>14</v>
      </c>
      <c r="F9" s="8"/>
      <c r="G9" s="8"/>
    </row>
    <row r="10" spans="1:10" x14ac:dyDescent="0.3">
      <c r="A10" s="6" t="s">
        <v>56</v>
      </c>
      <c r="B10" s="5">
        <v>15</v>
      </c>
      <c r="C10" s="3">
        <v>46</v>
      </c>
      <c r="D10" s="3">
        <f t="shared" si="0"/>
        <v>690</v>
      </c>
      <c r="E10" s="8" t="s">
        <v>14</v>
      </c>
      <c r="F10" s="8"/>
      <c r="G10" s="8"/>
    </row>
    <row r="11" spans="1:10" x14ac:dyDescent="0.3">
      <c r="A11" s="6" t="s">
        <v>55</v>
      </c>
      <c r="B11" s="5">
        <v>15</v>
      </c>
      <c r="C11" s="3">
        <v>62</v>
      </c>
      <c r="D11" s="3">
        <f t="shared" si="0"/>
        <v>930</v>
      </c>
      <c r="E11" s="8" t="s">
        <v>14</v>
      </c>
      <c r="F11" s="8"/>
      <c r="G11" s="8"/>
    </row>
    <row r="12" spans="1:10" x14ac:dyDescent="0.3">
      <c r="A12" s="6" t="s">
        <v>29</v>
      </c>
      <c r="B12" s="5">
        <v>16</v>
      </c>
      <c r="C12" s="3">
        <v>278</v>
      </c>
      <c r="D12" s="3">
        <f>B12*C12</f>
        <v>4448</v>
      </c>
      <c r="E12" s="8" t="s">
        <v>28</v>
      </c>
      <c r="F12" s="8"/>
      <c r="G12" s="8"/>
    </row>
    <row r="13" spans="1:10" x14ac:dyDescent="0.3">
      <c r="A13" s="6" t="s">
        <v>30</v>
      </c>
      <c r="B13" s="5">
        <v>3</v>
      </c>
      <c r="C13" s="3">
        <v>543</v>
      </c>
      <c r="D13" s="3">
        <f t="shared" si="0"/>
        <v>1629</v>
      </c>
      <c r="E13" s="8" t="s">
        <v>14</v>
      </c>
      <c r="F13" s="8"/>
      <c r="G13" s="8"/>
      <c r="J13" s="1"/>
    </row>
    <row r="14" spans="1:10" x14ac:dyDescent="0.3">
      <c r="A14" s="6" t="s">
        <v>41</v>
      </c>
      <c r="B14" s="5">
        <v>2</v>
      </c>
      <c r="C14" s="3">
        <v>341</v>
      </c>
      <c r="D14" s="3">
        <f t="shared" si="0"/>
        <v>682</v>
      </c>
      <c r="E14" s="8" t="s">
        <v>40</v>
      </c>
      <c r="F14" s="8"/>
      <c r="G14" s="8"/>
    </row>
    <row r="15" spans="1:10" ht="18" x14ac:dyDescent="0.35">
      <c r="A15" s="6"/>
      <c r="B15" s="10"/>
      <c r="C15" s="10" t="s">
        <v>3</v>
      </c>
      <c r="D15" s="11">
        <f>SUM(D2:D14)</f>
        <v>13721.67</v>
      </c>
      <c r="E15" s="8"/>
      <c r="F15" s="8"/>
      <c r="G15" s="8"/>
    </row>
    <row r="19" spans="4:6" s="2" customFormat="1" x14ac:dyDescent="0.3">
      <c r="F19"/>
    </row>
    <row r="20" spans="4:6" x14ac:dyDescent="0.3">
      <c r="D20" s="7"/>
    </row>
  </sheetData>
  <hyperlinks>
    <hyperlink ref="E13" r:id="rId1" xr:uid="{B0BD7508-7C60-4D38-918C-42BEF2E98E24}"/>
    <hyperlink ref="E12" r:id="rId2" xr:uid="{D7B7C364-C4D2-4D9E-8C3F-1737E97B94CC}"/>
    <hyperlink ref="E2" r:id="rId3" xr:uid="{D8A6E9D5-322D-4F9C-8EB7-2C3B84CF83B9}"/>
    <hyperlink ref="E3" r:id="rId4" xr:uid="{AE849A65-3687-4F74-AAC8-1CB2D79ABFD8}"/>
    <hyperlink ref="E14" r:id="rId5" xr:uid="{D7EED9D9-AF96-46E3-B89C-2D70C925B2CE}"/>
    <hyperlink ref="E9" r:id="rId6" xr:uid="{FFD101D6-00F7-44FF-A109-02FC1F2AC22B}"/>
    <hyperlink ref="E10" r:id="rId7" xr:uid="{B4B5EBF9-FA3B-4EC4-B6DB-1DE265E45421}"/>
    <hyperlink ref="E11" r:id="rId8" xr:uid="{3632E3DD-F53B-456F-BCFD-D0DDF4324637}"/>
    <hyperlink ref="E4" r:id="rId9" xr:uid="{E0F17CCC-1AC2-47D1-9830-62C7A8CB1091}"/>
    <hyperlink ref="F4" r:id="rId10" display="Amazon" xr:uid="{0C98C0FD-6281-41C1-9FD1-8ED08CD85907}"/>
    <hyperlink ref="E5" r:id="rId11" xr:uid="{2C7B1708-0B64-48A6-BF71-7AE60F3AE6F4}"/>
    <hyperlink ref="F5" r:id="rId12" xr:uid="{4D7A87B9-45A2-4544-A809-C0CA77351A44}"/>
    <hyperlink ref="G5" r:id="rId13" xr:uid="{E9CAB452-5A80-454F-8707-3803144E8B29}"/>
    <hyperlink ref="E7" r:id="rId14" xr:uid="{800B5F9E-1DDC-44E5-925A-3112C57C407C}"/>
    <hyperlink ref="F7" r:id="rId15" xr:uid="{9A2E4ECE-14C9-432C-9B38-292F672C825B}"/>
    <hyperlink ref="E8" r:id="rId16" xr:uid="{3108C69C-406C-4D6B-9206-77A0A98ADE74}"/>
    <hyperlink ref="E6" r:id="rId17" xr:uid="{51BE3E5F-88D1-4CA1-813E-7697906783AF}"/>
    <hyperlink ref="F6" r:id="rId18" xr:uid="{DFF1163A-2699-4084-82B9-BBDB8DA87557}"/>
    <hyperlink ref="G6" r:id="rId19" xr:uid="{A3854315-DA1C-4287-A36D-CC8DC96209CB}"/>
  </hyperlinks>
  <pageMargins left="0.7" right="0.7" top="0.75" bottom="0.75" header="0.3" footer="0.3"/>
  <tableParts count="1">
    <tablePart r:id="rId20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330F2-37F5-4F4C-A741-49A93BA5134C}">
  <dimension ref="A1:F20"/>
  <sheetViews>
    <sheetView zoomScale="113" workbookViewId="0">
      <selection activeCell="G15" sqref="G15"/>
    </sheetView>
  </sheetViews>
  <sheetFormatPr baseColWidth="10" defaultRowHeight="14.4" x14ac:dyDescent="0.3"/>
  <cols>
    <col min="1" max="1" width="43.109375" style="2" bestFit="1" customWidth="1"/>
    <col min="2" max="2" width="17.21875" style="2" bestFit="1" customWidth="1"/>
    <col min="3" max="3" width="20.21875" style="2" bestFit="1" customWidth="1"/>
    <col min="4" max="4" width="18.21875" style="2" bestFit="1" customWidth="1"/>
    <col min="5" max="5" width="18.6640625" style="2" bestFit="1" customWidth="1"/>
  </cols>
  <sheetData>
    <row r="1" spans="1:6" ht="18" x14ac:dyDescent="0.35">
      <c r="A1" s="9" t="s">
        <v>10</v>
      </c>
      <c r="B1" s="9" t="s">
        <v>11</v>
      </c>
      <c r="C1" s="9" t="s">
        <v>12</v>
      </c>
      <c r="D1" s="9" t="s">
        <v>13</v>
      </c>
      <c r="E1" s="9" t="s">
        <v>1</v>
      </c>
    </row>
    <row r="2" spans="1:6" x14ac:dyDescent="0.3">
      <c r="A2" s="6" t="s">
        <v>83</v>
      </c>
      <c r="B2" s="5">
        <v>3</v>
      </c>
      <c r="C2" s="3">
        <v>84.89</v>
      </c>
      <c r="D2" s="3">
        <f>B2*C2</f>
        <v>254.67000000000002</v>
      </c>
      <c r="E2" s="8" t="s">
        <v>0</v>
      </c>
    </row>
    <row r="3" spans="1:6" x14ac:dyDescent="0.3">
      <c r="A3" s="6" t="s">
        <v>84</v>
      </c>
      <c r="B3" s="5">
        <v>1</v>
      </c>
      <c r="C3" s="3">
        <v>151</v>
      </c>
      <c r="D3" s="3">
        <f t="shared" ref="D3:D14" si="0">B3*C3</f>
        <v>151</v>
      </c>
      <c r="E3" s="8" t="s">
        <v>14</v>
      </c>
    </row>
    <row r="4" spans="1:6" x14ac:dyDescent="0.3">
      <c r="A4" s="6" t="s">
        <v>53</v>
      </c>
      <c r="B4" s="5">
        <v>5</v>
      </c>
      <c r="C4" s="3">
        <v>46</v>
      </c>
      <c r="D4" s="3">
        <f t="shared" si="0"/>
        <v>230</v>
      </c>
      <c r="E4" s="8" t="s">
        <v>14</v>
      </c>
    </row>
    <row r="5" spans="1:6" x14ac:dyDescent="0.3">
      <c r="A5" s="6" t="s">
        <v>82</v>
      </c>
      <c r="B5" s="5">
        <v>40</v>
      </c>
      <c r="C5" s="3">
        <v>23</v>
      </c>
      <c r="D5" s="3">
        <f t="shared" si="0"/>
        <v>920</v>
      </c>
      <c r="E5" s="8" t="s">
        <v>14</v>
      </c>
    </row>
    <row r="6" spans="1:6" x14ac:dyDescent="0.3">
      <c r="A6" s="6" t="s">
        <v>50</v>
      </c>
      <c r="B6" s="5">
        <v>1</v>
      </c>
      <c r="C6" s="3">
        <v>1812</v>
      </c>
      <c r="D6" s="3">
        <f t="shared" si="0"/>
        <v>1812</v>
      </c>
      <c r="E6" s="8" t="s">
        <v>49</v>
      </c>
    </row>
    <row r="7" spans="1:6" x14ac:dyDescent="0.3">
      <c r="A7" s="6" t="s">
        <v>51</v>
      </c>
      <c r="B7" s="5">
        <v>1</v>
      </c>
      <c r="C7" s="3">
        <v>73</v>
      </c>
      <c r="D7" s="3">
        <f t="shared" si="0"/>
        <v>73</v>
      </c>
      <c r="E7" s="8" t="s">
        <v>52</v>
      </c>
    </row>
    <row r="8" spans="1:6" x14ac:dyDescent="0.3">
      <c r="A8" s="6" t="s">
        <v>80</v>
      </c>
      <c r="B8" s="5">
        <v>1</v>
      </c>
      <c r="C8" s="3">
        <v>28</v>
      </c>
      <c r="D8" s="3">
        <f t="shared" si="0"/>
        <v>28</v>
      </c>
      <c r="E8" s="8" t="s">
        <v>78</v>
      </c>
    </row>
    <row r="9" spans="1:6" x14ac:dyDescent="0.3">
      <c r="A9" s="6" t="s">
        <v>79</v>
      </c>
      <c r="B9" s="5">
        <v>1</v>
      </c>
      <c r="C9" s="3">
        <v>8</v>
      </c>
      <c r="D9" s="3">
        <f t="shared" si="0"/>
        <v>8</v>
      </c>
      <c r="E9" s="8" t="s">
        <v>0</v>
      </c>
    </row>
    <row r="10" spans="1:6" x14ac:dyDescent="0.3">
      <c r="A10" s="6" t="s">
        <v>85</v>
      </c>
      <c r="B10" s="5">
        <v>1</v>
      </c>
      <c r="C10" s="3">
        <v>10</v>
      </c>
      <c r="D10" s="3">
        <f t="shared" si="0"/>
        <v>10</v>
      </c>
      <c r="E10" s="8" t="s">
        <v>81</v>
      </c>
    </row>
    <row r="11" spans="1:6" x14ac:dyDescent="0.3">
      <c r="A11" s="6" t="s">
        <v>86</v>
      </c>
      <c r="B11" s="5">
        <v>1</v>
      </c>
      <c r="C11" s="3">
        <v>10</v>
      </c>
      <c r="D11" s="3">
        <f t="shared" si="0"/>
        <v>10</v>
      </c>
      <c r="E11" s="8" t="s">
        <v>0</v>
      </c>
    </row>
    <row r="12" spans="1:6" x14ac:dyDescent="0.3">
      <c r="A12" s="6" t="s">
        <v>88</v>
      </c>
      <c r="B12" s="5">
        <v>1</v>
      </c>
      <c r="C12" s="3">
        <v>20</v>
      </c>
      <c r="D12" s="3">
        <f t="shared" si="0"/>
        <v>20</v>
      </c>
      <c r="E12" s="8" t="s">
        <v>87</v>
      </c>
    </row>
    <row r="13" spans="1:6" x14ac:dyDescent="0.3">
      <c r="A13" s="6" t="s">
        <v>89</v>
      </c>
      <c r="B13" s="5">
        <v>1</v>
      </c>
      <c r="C13" s="3">
        <v>5</v>
      </c>
      <c r="D13" s="3">
        <f t="shared" si="0"/>
        <v>5</v>
      </c>
      <c r="E13" s="8" t="s">
        <v>78</v>
      </c>
    </row>
    <row r="14" spans="1:6" x14ac:dyDescent="0.3">
      <c r="A14" s="6" t="s">
        <v>90</v>
      </c>
      <c r="B14" s="5">
        <v>1</v>
      </c>
      <c r="C14" s="3">
        <v>64</v>
      </c>
      <c r="D14" s="3">
        <f t="shared" si="0"/>
        <v>64</v>
      </c>
      <c r="E14" s="8" t="s">
        <v>91</v>
      </c>
    </row>
    <row r="15" spans="1:6" ht="18" x14ac:dyDescent="0.35">
      <c r="A15" s="6"/>
      <c r="B15" s="5">
        <v>63.74</v>
      </c>
      <c r="C15" s="10" t="s">
        <v>3</v>
      </c>
      <c r="D15" s="11">
        <f>SUM(D2:D14)</f>
        <v>3585.67</v>
      </c>
      <c r="E15" s="8"/>
      <c r="F15" s="1"/>
    </row>
    <row r="20" spans="4:6" s="2" customFormat="1" ht="15.6" x14ac:dyDescent="0.3">
      <c r="D20" s="13"/>
      <c r="F20"/>
    </row>
  </sheetData>
  <hyperlinks>
    <hyperlink ref="E6" r:id="rId1" xr:uid="{FFC42B51-8CC9-4084-95AF-00A1049C5A13}"/>
    <hyperlink ref="E5" r:id="rId2" xr:uid="{7FF40B79-D957-4527-B250-75CD9E036687}"/>
    <hyperlink ref="E4" r:id="rId3" xr:uid="{28A2BEDC-3151-4941-83A2-A5484761F4DF}"/>
    <hyperlink ref="E2" r:id="rId4" xr:uid="{DD4B7F9B-C2D4-4231-8A8C-7F9059C77E0D}"/>
    <hyperlink ref="E3" r:id="rId5" xr:uid="{7C4EF865-5D7F-47CE-88BD-73FFE1E2A668}"/>
    <hyperlink ref="E7" r:id="rId6" xr:uid="{7083D922-135B-489A-ADC3-3F9C633E8884}"/>
    <hyperlink ref="E9" r:id="rId7" xr:uid="{A99885A9-854D-40DC-A8ED-00D0152BE502}"/>
    <hyperlink ref="E8" r:id="rId8" xr:uid="{9335FF8C-B630-4B73-852D-904EA05716D8}"/>
    <hyperlink ref="E10" r:id="rId9" xr:uid="{E960BAAF-1A97-487D-8DE6-5EC337F4D052}"/>
    <hyperlink ref="E11" r:id="rId10" xr:uid="{80F375D0-9EC0-437B-9091-572E2A595DCC}"/>
    <hyperlink ref="E12" r:id="rId11" xr:uid="{266130E2-0B46-4A76-806F-33D26A4B87DA}"/>
    <hyperlink ref="E13" r:id="rId12" xr:uid="{5A66C4D7-E9BA-4BB9-BDE8-99B5EE990AD0}"/>
    <hyperlink ref="E14" r:id="rId13" xr:uid="{900FB10E-46E2-409A-91F1-CA822C910233}"/>
  </hyperlinks>
  <pageMargins left="0.7" right="0.7" top="0.75" bottom="0.75" header="0.3" footer="0.3"/>
  <tableParts count="1"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18D69-59BA-4C64-99E2-4CD4674BD311}">
  <dimension ref="A1:F12"/>
  <sheetViews>
    <sheetView zoomScale="113" workbookViewId="0"/>
  </sheetViews>
  <sheetFormatPr baseColWidth="10" defaultRowHeight="14.4" x14ac:dyDescent="0.3"/>
  <cols>
    <col min="1" max="1" width="30.77734375" style="2" bestFit="1" customWidth="1"/>
    <col min="2" max="2" width="17.21875" style="2" bestFit="1" customWidth="1"/>
    <col min="3" max="3" width="20.21875" style="2" bestFit="1" customWidth="1"/>
    <col min="4" max="4" width="18.21875" style="2" bestFit="1" customWidth="1"/>
    <col min="5" max="5" width="10.109375" style="2" bestFit="1" customWidth="1"/>
  </cols>
  <sheetData>
    <row r="1" spans="1:6" ht="18" x14ac:dyDescent="0.35">
      <c r="A1" s="9" t="s">
        <v>10</v>
      </c>
      <c r="B1" s="9" t="s">
        <v>11</v>
      </c>
      <c r="C1" s="9" t="s">
        <v>12</v>
      </c>
      <c r="D1" s="9" t="s">
        <v>13</v>
      </c>
      <c r="E1" s="9" t="s">
        <v>1</v>
      </c>
    </row>
    <row r="2" spans="1:6" x14ac:dyDescent="0.3">
      <c r="A2" s="6" t="s">
        <v>26</v>
      </c>
      <c r="B2" s="5">
        <v>1</v>
      </c>
      <c r="C2" s="3">
        <v>140</v>
      </c>
      <c r="D2" s="3">
        <f>B2*C2</f>
        <v>140</v>
      </c>
      <c r="E2" s="8" t="s">
        <v>5</v>
      </c>
    </row>
    <row r="3" spans="1:6" x14ac:dyDescent="0.3">
      <c r="A3" s="6" t="s">
        <v>7</v>
      </c>
      <c r="B3" s="5">
        <v>1</v>
      </c>
      <c r="C3" s="3">
        <v>109</v>
      </c>
      <c r="D3" s="3">
        <f t="shared" ref="D3:D6" si="0">B3*C3</f>
        <v>109</v>
      </c>
      <c r="E3" s="8" t="s">
        <v>5</v>
      </c>
    </row>
    <row r="4" spans="1:6" x14ac:dyDescent="0.3">
      <c r="A4" s="6" t="s">
        <v>8</v>
      </c>
      <c r="B4" s="5">
        <v>1</v>
      </c>
      <c r="C4" s="3">
        <v>210</v>
      </c>
      <c r="D4" s="3">
        <f t="shared" si="0"/>
        <v>210</v>
      </c>
      <c r="E4" s="8" t="s">
        <v>5</v>
      </c>
    </row>
    <row r="5" spans="1:6" x14ac:dyDescent="0.3">
      <c r="A5" s="6" t="s">
        <v>9</v>
      </c>
      <c r="B5" s="5">
        <v>3</v>
      </c>
      <c r="C5" s="3">
        <v>140</v>
      </c>
      <c r="D5" s="3">
        <f t="shared" si="0"/>
        <v>420</v>
      </c>
      <c r="E5" s="8" t="s">
        <v>5</v>
      </c>
    </row>
    <row r="6" spans="1:6" x14ac:dyDescent="0.3">
      <c r="A6" s="6" t="s">
        <v>37</v>
      </c>
      <c r="B6" s="5">
        <v>1</v>
      </c>
      <c r="C6" s="3">
        <v>765</v>
      </c>
      <c r="D6" s="3">
        <f t="shared" si="0"/>
        <v>765</v>
      </c>
      <c r="E6" s="8" t="s">
        <v>34</v>
      </c>
    </row>
    <row r="7" spans="1:6" ht="18" x14ac:dyDescent="0.35">
      <c r="A7" s="6"/>
      <c r="B7" s="10"/>
      <c r="C7" s="10" t="s">
        <v>3</v>
      </c>
      <c r="D7" s="11">
        <f>SUM(D2:D6)</f>
        <v>1644</v>
      </c>
      <c r="E7" s="4"/>
      <c r="F7" s="1"/>
    </row>
    <row r="12" spans="1:6" s="2" customFormat="1" x14ac:dyDescent="0.3">
      <c r="D12" s="7"/>
      <c r="F12"/>
    </row>
  </sheetData>
  <hyperlinks>
    <hyperlink ref="E5" r:id="rId1" xr:uid="{C9FFAA1C-1C22-4F28-8D69-F82662DB9A61}"/>
    <hyperlink ref="E4" r:id="rId2" xr:uid="{5E82022B-C60C-466F-BCE5-35511BD268A3}"/>
    <hyperlink ref="E3" r:id="rId3" xr:uid="{E85B6882-C1E6-4E46-B9AA-0E33D9FB0241}"/>
    <hyperlink ref="E2" r:id="rId4" xr:uid="{A9BF081C-ABB3-456B-92C8-31184EB7ED3F}"/>
    <hyperlink ref="E6" r:id="rId5" location="precios" xr:uid="{14BD30D1-AAD9-4342-8B23-C4861F49B4E2}"/>
  </hyperlinks>
  <pageMargins left="0.7" right="0.7" top="0.75" bottom="0.75" header="0.3" footer="0.3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212CB-ABA6-4B0C-8F7B-020B9BE896CB}">
  <dimension ref="A1:F18"/>
  <sheetViews>
    <sheetView zoomScale="113" workbookViewId="0"/>
  </sheetViews>
  <sheetFormatPr baseColWidth="10" defaultRowHeight="14.4" x14ac:dyDescent="0.3"/>
  <cols>
    <col min="1" max="1" width="36.77734375" style="2" bestFit="1" customWidth="1"/>
    <col min="2" max="2" width="17.21875" style="2" bestFit="1" customWidth="1"/>
    <col min="3" max="3" width="20.21875" style="2" bestFit="1" customWidth="1"/>
    <col min="4" max="4" width="18.21875" style="2" bestFit="1" customWidth="1"/>
    <col min="5" max="5" width="15.33203125" style="2" bestFit="1" customWidth="1"/>
  </cols>
  <sheetData>
    <row r="1" spans="1:6" ht="18" x14ac:dyDescent="0.35">
      <c r="A1" s="9" t="s">
        <v>10</v>
      </c>
      <c r="B1" s="9" t="s">
        <v>11</v>
      </c>
      <c r="C1" s="9" t="s">
        <v>12</v>
      </c>
      <c r="D1" s="9" t="s">
        <v>13</v>
      </c>
      <c r="E1" s="9" t="s">
        <v>1</v>
      </c>
    </row>
    <row r="2" spans="1:6" x14ac:dyDescent="0.3">
      <c r="A2" s="6" t="s">
        <v>16</v>
      </c>
      <c r="B2" s="5">
        <v>5</v>
      </c>
      <c r="C2" s="3">
        <v>49.99</v>
      </c>
      <c r="D2" s="3">
        <f>B2*C2</f>
        <v>249.95000000000002</v>
      </c>
      <c r="E2" s="8" t="s">
        <v>14</v>
      </c>
    </row>
    <row r="3" spans="1:6" x14ac:dyDescent="0.3">
      <c r="A3" s="6" t="s">
        <v>15</v>
      </c>
      <c r="B3" s="5">
        <v>6</v>
      </c>
      <c r="C3" s="3">
        <v>15</v>
      </c>
      <c r="D3" s="3">
        <f t="shared" ref="D3:D11" si="0">B3*C3</f>
        <v>90</v>
      </c>
      <c r="E3" s="8" t="s">
        <v>45</v>
      </c>
    </row>
    <row r="4" spans="1:6" x14ac:dyDescent="0.3">
      <c r="A4" s="6" t="s">
        <v>17</v>
      </c>
      <c r="B4" s="5">
        <v>2</v>
      </c>
      <c r="C4" s="3">
        <v>919</v>
      </c>
      <c r="D4" s="3">
        <f t="shared" si="0"/>
        <v>1838</v>
      </c>
      <c r="E4" s="8" t="s">
        <v>43</v>
      </c>
    </row>
    <row r="5" spans="1:6" x14ac:dyDescent="0.3">
      <c r="A5" s="6" t="s">
        <v>18</v>
      </c>
      <c r="B5" s="5">
        <v>2</v>
      </c>
      <c r="C5" s="3">
        <v>309.49</v>
      </c>
      <c r="D5" s="3">
        <f t="shared" si="0"/>
        <v>618.98</v>
      </c>
      <c r="E5" s="8" t="s">
        <v>44</v>
      </c>
    </row>
    <row r="6" spans="1:6" x14ac:dyDescent="0.3">
      <c r="A6" s="6" t="s">
        <v>19</v>
      </c>
      <c r="B6" s="5">
        <v>4</v>
      </c>
      <c r="C6" s="3">
        <v>142.30000000000001</v>
      </c>
      <c r="D6" s="3">
        <f t="shared" si="0"/>
        <v>569.20000000000005</v>
      </c>
      <c r="E6" s="8" t="s">
        <v>0</v>
      </c>
    </row>
    <row r="7" spans="1:6" x14ac:dyDescent="0.3">
      <c r="A7" s="6" t="s">
        <v>20</v>
      </c>
      <c r="B7" s="5">
        <v>3</v>
      </c>
      <c r="C7" s="3">
        <v>29</v>
      </c>
      <c r="D7" s="3">
        <f>B7*C7</f>
        <v>87</v>
      </c>
      <c r="E7" s="8" t="s">
        <v>0</v>
      </c>
    </row>
    <row r="8" spans="1:6" x14ac:dyDescent="0.3">
      <c r="A8" s="6" t="s">
        <v>21</v>
      </c>
      <c r="B8" s="5">
        <v>6</v>
      </c>
      <c r="C8" s="3">
        <v>1329</v>
      </c>
      <c r="D8" s="3">
        <f t="shared" si="0"/>
        <v>7974</v>
      </c>
      <c r="E8" s="12" t="s">
        <v>42</v>
      </c>
    </row>
    <row r="9" spans="1:6" x14ac:dyDescent="0.3">
      <c r="A9" s="6" t="s">
        <v>22</v>
      </c>
      <c r="B9" s="5">
        <v>8</v>
      </c>
      <c r="C9" s="3">
        <v>22</v>
      </c>
      <c r="D9" s="3">
        <f t="shared" si="0"/>
        <v>176</v>
      </c>
      <c r="E9" s="8" t="s">
        <v>33</v>
      </c>
    </row>
    <row r="10" spans="1:6" x14ac:dyDescent="0.3">
      <c r="A10" s="6" t="s">
        <v>6</v>
      </c>
      <c r="B10" s="5">
        <v>2</v>
      </c>
      <c r="C10" s="3">
        <v>262</v>
      </c>
      <c r="D10" s="3">
        <f t="shared" si="0"/>
        <v>524</v>
      </c>
      <c r="E10" s="4" t="s">
        <v>24</v>
      </c>
    </row>
    <row r="11" spans="1:6" x14ac:dyDescent="0.3">
      <c r="A11" s="6" t="s">
        <v>23</v>
      </c>
      <c r="B11" s="5">
        <v>1</v>
      </c>
      <c r="C11" s="3">
        <v>1010</v>
      </c>
      <c r="D11" s="3">
        <f t="shared" si="0"/>
        <v>1010</v>
      </c>
      <c r="E11" s="8" t="s">
        <v>32</v>
      </c>
    </row>
    <row r="12" spans="1:6" x14ac:dyDescent="0.3">
      <c r="A12" s="6" t="s">
        <v>31</v>
      </c>
      <c r="B12" s="5">
        <v>1</v>
      </c>
      <c r="C12" s="3">
        <v>1381.49</v>
      </c>
      <c r="D12" s="3">
        <f t="shared" ref="D12" si="1">B12*C12</f>
        <v>1381.49</v>
      </c>
      <c r="E12" s="8" t="s">
        <v>4</v>
      </c>
    </row>
    <row r="13" spans="1:6" ht="18" x14ac:dyDescent="0.35">
      <c r="A13" s="6"/>
      <c r="B13" s="10"/>
      <c r="C13" s="10" t="s">
        <v>3</v>
      </c>
      <c r="D13" s="11">
        <f>SUM(D2:D12)</f>
        <v>14518.62</v>
      </c>
      <c r="E13" s="4"/>
      <c r="F13" s="1"/>
    </row>
    <row r="18" spans="4:4" x14ac:dyDescent="0.3">
      <c r="D18" s="7"/>
    </row>
  </sheetData>
  <hyperlinks>
    <hyperlink ref="E7" r:id="rId1" xr:uid="{4B8F7A68-D246-4794-AFEB-C85C1FC62CCA}"/>
    <hyperlink ref="E3" r:id="rId2" xr:uid="{82C7D051-03A0-468B-99D3-45963CEF8175}"/>
    <hyperlink ref="E2" r:id="rId3" xr:uid="{307295DC-8B5D-4502-9362-6496F785575C}"/>
    <hyperlink ref="E12" r:id="rId4" xr:uid="{CBA8EAD2-8758-485E-B0C1-8EF9F3DB2DE6}"/>
    <hyperlink ref="E10" r:id="rId5" xr:uid="{0D2A63AB-EB87-4A7F-BDA8-0F37732498C9}"/>
    <hyperlink ref="E6" r:id="rId6" xr:uid="{71C35F82-CEBB-4C5B-A28D-60976506101A}"/>
    <hyperlink ref="E11" r:id="rId7" location="/159-power_cord-eu_plug/160-pfsense_software_support-tac_lite_incluido/216-wall_mount_kit-none" xr:uid="{21EB80E3-6613-462A-BF46-1F8BEB4EDE63}"/>
    <hyperlink ref="E9" r:id="rId8" xr:uid="{85D8FB09-A310-48E6-9E80-21268A8F89A1}"/>
    <hyperlink ref="E8" r:id="rId9" xr:uid="{6A94C80C-088D-4FAB-A616-E4DC3C450EDC}"/>
    <hyperlink ref="E4" r:id="rId10" xr:uid="{C9D0026B-B0EF-4BB3-8AB0-14F8AE040604}"/>
    <hyperlink ref="E5" r:id="rId11" xr:uid="{78981C31-9CE8-4EF5-8A78-4257F5940AEA}"/>
  </hyperlinks>
  <pageMargins left="0.7" right="0.7" top="0.75" bottom="0.75" header="0.3" footer="0.3"/>
  <tableParts count="1">
    <tablePart r:id="rId1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A0B5D-83CF-477E-ACBB-55E5A0CCD0CB}">
  <dimension ref="A1:F12"/>
  <sheetViews>
    <sheetView tabSelected="1" zoomScale="113" workbookViewId="0">
      <selection activeCell="E3" sqref="E3"/>
    </sheetView>
  </sheetViews>
  <sheetFormatPr baseColWidth="10" defaultRowHeight="14.4" x14ac:dyDescent="0.3"/>
  <cols>
    <col min="1" max="1" width="71.88671875" style="2" bestFit="1" customWidth="1"/>
    <col min="2" max="2" width="17.21875" style="2" bestFit="1" customWidth="1"/>
    <col min="3" max="3" width="20.21875" style="2" bestFit="1" customWidth="1"/>
    <col min="4" max="4" width="18.21875" style="2" bestFit="1" customWidth="1"/>
    <col min="5" max="5" width="10.77734375" style="2" bestFit="1" customWidth="1"/>
  </cols>
  <sheetData>
    <row r="1" spans="1:6" ht="18" x14ac:dyDescent="0.35">
      <c r="A1" s="9" t="s">
        <v>10</v>
      </c>
      <c r="B1" s="9" t="s">
        <v>11</v>
      </c>
      <c r="C1" s="9" t="s">
        <v>12</v>
      </c>
      <c r="D1" s="9" t="s">
        <v>13</v>
      </c>
      <c r="E1" s="9" t="s">
        <v>1</v>
      </c>
    </row>
    <row r="2" spans="1:6" x14ac:dyDescent="0.3">
      <c r="A2" s="6" t="s">
        <v>35</v>
      </c>
      <c r="B2" s="5">
        <v>1</v>
      </c>
      <c r="C2" s="3">
        <v>33</v>
      </c>
      <c r="D2" s="3">
        <f>B2*C2</f>
        <v>33</v>
      </c>
      <c r="E2" s="8" t="s">
        <v>25</v>
      </c>
    </row>
    <row r="3" spans="1:6" x14ac:dyDescent="0.3">
      <c r="A3" s="6" t="s">
        <v>36</v>
      </c>
      <c r="B3" s="5">
        <v>1</v>
      </c>
      <c r="C3" s="3">
        <v>11.8</v>
      </c>
      <c r="D3" s="3">
        <f t="shared" ref="D3:D4" si="0">B3*C3</f>
        <v>11.8</v>
      </c>
      <c r="E3" s="8" t="s">
        <v>25</v>
      </c>
    </row>
    <row r="4" spans="1:6" x14ac:dyDescent="0.3">
      <c r="A4" s="6" t="s">
        <v>39</v>
      </c>
      <c r="B4" s="5">
        <v>1</v>
      </c>
      <c r="C4" s="3">
        <v>483</v>
      </c>
      <c r="D4" s="3">
        <f t="shared" si="0"/>
        <v>483</v>
      </c>
      <c r="E4" s="8" t="s">
        <v>38</v>
      </c>
    </row>
    <row r="5" spans="1:6" x14ac:dyDescent="0.3">
      <c r="A5" s="6" t="s">
        <v>47</v>
      </c>
      <c r="B5" s="5">
        <v>16</v>
      </c>
      <c r="C5" s="3">
        <v>17</v>
      </c>
      <c r="D5" s="3">
        <f>B5*C5</f>
        <v>272</v>
      </c>
      <c r="E5" s="8" t="s">
        <v>46</v>
      </c>
    </row>
    <row r="6" spans="1:6" x14ac:dyDescent="0.3">
      <c r="A6" s="6" t="s">
        <v>48</v>
      </c>
      <c r="B6" s="5">
        <v>16</v>
      </c>
      <c r="C6" s="3">
        <v>11</v>
      </c>
      <c r="D6" s="3">
        <f>B6*C6</f>
        <v>176</v>
      </c>
      <c r="E6" s="8" t="s">
        <v>46</v>
      </c>
    </row>
    <row r="7" spans="1:6" ht="18" x14ac:dyDescent="0.35">
      <c r="A7" s="6"/>
      <c r="B7" s="10"/>
      <c r="C7" s="10" t="s">
        <v>3</v>
      </c>
      <c r="D7" s="11">
        <f>SUM(D2:D6)</f>
        <v>975.8</v>
      </c>
      <c r="E7" s="8"/>
      <c r="F7" s="1"/>
    </row>
    <row r="12" spans="1:6" s="2" customFormat="1" x14ac:dyDescent="0.3">
      <c r="D12" s="7"/>
      <c r="F12"/>
    </row>
  </sheetData>
  <hyperlinks>
    <hyperlink ref="E3" r:id="rId1" xr:uid="{01DDADB8-073C-4B1A-9B86-E6C341294D87}"/>
    <hyperlink ref="E2" r:id="rId2" xr:uid="{8F7971D7-5DC5-413F-827A-2C1CAA6BAE16}"/>
    <hyperlink ref="E4" r:id="rId3" xr:uid="{3E5F4019-F7E1-44ED-8F21-C32477626044}"/>
    <hyperlink ref="E6" r:id="rId4" xr:uid="{9EB7A536-D417-4814-8A2A-5ECC28AD5EF6}"/>
    <hyperlink ref="E5" r:id="rId5" xr:uid="{D999DD1F-7325-4A99-8041-38DAB687B622}"/>
  </hyperlinks>
  <pageMargins left="0.7" right="0.7" top="0.75" bottom="0.75" header="0.3" footer="0.3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FULL DE RESUM</vt:lpstr>
      <vt:lpstr>MAQUINARI</vt:lpstr>
      <vt:lpstr>XARXA</vt:lpstr>
      <vt:lpstr>SISTEMES I PROGRAMARI</vt:lpstr>
      <vt:lpstr>SEGURETAT FÍSICA I LÒGICA</vt:lpstr>
      <vt:lpstr>ALTRES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Soloviov, Ievgen</dc:creator>
  <cp:lastModifiedBy>Guerrero Matas, Eric</cp:lastModifiedBy>
  <dcterms:created xsi:type="dcterms:W3CDTF">2024-05-08T13:45:30Z</dcterms:created>
  <dcterms:modified xsi:type="dcterms:W3CDTF">2024-06-10T15:10:37Z</dcterms:modified>
</cp:coreProperties>
</file>